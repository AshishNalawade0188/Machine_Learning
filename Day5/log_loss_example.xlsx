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L_workshop_complete\Machine_Learning\Day7\"/>
    </mc:Choice>
  </mc:AlternateContent>
  <bookViews>
    <workbookView xWindow="0" yWindow="0" windowWidth="20490" windowHeight="9045" activeTab="1"/>
  </bookViews>
  <sheets>
    <sheet name="Example 1" sheetId="2" r:id="rId1"/>
    <sheet name="Example 2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F8" i="2"/>
  <c r="E8" i="2"/>
  <c r="I7" i="2"/>
  <c r="F7" i="2"/>
  <c r="E7" i="2"/>
  <c r="G7" i="2" s="1"/>
  <c r="I6" i="2"/>
  <c r="F6" i="2"/>
  <c r="E6" i="2"/>
  <c r="I5" i="2"/>
  <c r="G5" i="2"/>
  <c r="F5" i="2"/>
  <c r="E5" i="2"/>
  <c r="I4" i="2"/>
  <c r="F4" i="2"/>
  <c r="E4" i="2"/>
  <c r="G4" i="2" s="1"/>
  <c r="C12" i="1"/>
  <c r="I9" i="1"/>
  <c r="G8" i="1"/>
  <c r="G7" i="1"/>
  <c r="G6" i="1"/>
  <c r="G5" i="1"/>
  <c r="G4" i="1"/>
  <c r="F5" i="1"/>
  <c r="F6" i="1"/>
  <c r="F7" i="1"/>
  <c r="F8" i="1"/>
  <c r="F4" i="1"/>
  <c r="E5" i="1"/>
  <c r="E6" i="1"/>
  <c r="E7" i="1"/>
  <c r="E8" i="1"/>
  <c r="E4" i="1"/>
  <c r="I5" i="1"/>
  <c r="I6" i="1"/>
  <c r="I7" i="1"/>
  <c r="I8" i="1"/>
  <c r="I4" i="1"/>
  <c r="I9" i="2" l="1"/>
  <c r="G8" i="2"/>
  <c r="G6" i="2"/>
  <c r="C12" i="2" s="1"/>
</calcChain>
</file>

<file path=xl/sharedStrings.xml><?xml version="1.0" encoding="utf-8"?>
<sst xmlns="http://schemas.openxmlformats.org/spreadsheetml/2006/main" count="28" uniqueCount="15">
  <si>
    <t>Sample_no</t>
  </si>
  <si>
    <t>Probability of output being 1 (P)</t>
  </si>
  <si>
    <t>Probability of output being 0 (1-p)</t>
  </si>
  <si>
    <t>Corrected probability</t>
  </si>
  <si>
    <t>logloss</t>
  </si>
  <si>
    <t>logloss = - 1/N * sum( yi * log(pi) + (1-yi) * log(1-pi))</t>
  </si>
  <si>
    <t>Output (Y)</t>
  </si>
  <si>
    <t>y*log(P)</t>
  </si>
  <si>
    <t>(1-y)*log(1-p)</t>
  </si>
  <si>
    <t xml:space="preserve"> yi * log(pi) + (1-yi) * log(1-pi)</t>
  </si>
  <si>
    <t>BAD Classifier</t>
  </si>
  <si>
    <t>Good Classifier</t>
  </si>
  <si>
    <t>Another Calculation Method</t>
  </si>
  <si>
    <t>log loss = - 1/N sum ( log ( corrected probabilities))</t>
  </si>
  <si>
    <t>log(corrected probability)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</si>
</sst>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E5" sqref="E5"/>
    </sheetView>
  </sheetViews>
  <sheetFormatPr defaultRowHeight="15" x14ac:dyDescent="0.25"/>
  <cols>
    <col min="1" max="1" width="17.28515625" bestFit="1" customWidth="1"/>
    <col min="2" max="2" width="15" bestFit="1" customWidth="1"/>
    <col min="3" max="3" width="28.28515625" customWidth="1"/>
    <col min="4" max="4" width="34.140625" customWidth="1"/>
    <col min="5" max="5" width="20.85546875" customWidth="1"/>
    <col min="6" max="6" width="20.42578125" bestFit="1" customWidth="1"/>
    <col min="7" max="7" width="42.85546875" bestFit="1" customWidth="1"/>
    <col min="8" max="8" width="73.5703125" bestFit="1" customWidth="1"/>
    <col min="9" max="9" width="21.42578125" bestFit="1" customWidth="1"/>
  </cols>
  <sheetData>
    <row r="1" spans="1:10" ht="36" x14ac:dyDescent="0.55000000000000004">
      <c r="D1" s="3" t="s">
        <v>11</v>
      </c>
    </row>
    <row r="2" spans="1:10" ht="23.25" x14ac:dyDescent="0.35">
      <c r="H2" s="4" t="s">
        <v>12</v>
      </c>
    </row>
    <row r="3" spans="1:10" ht="66" customHeight="1" x14ac:dyDescent="0.35">
      <c r="A3" s="5" t="s">
        <v>0</v>
      </c>
      <c r="B3" s="5" t="s">
        <v>6</v>
      </c>
      <c r="C3" s="6" t="s">
        <v>1</v>
      </c>
      <c r="D3" s="6" t="s">
        <v>2</v>
      </c>
      <c r="E3" s="5" t="s">
        <v>7</v>
      </c>
      <c r="F3" s="5" t="s">
        <v>8</v>
      </c>
      <c r="G3" s="5" t="s">
        <v>9</v>
      </c>
      <c r="H3" s="1" t="s">
        <v>3</v>
      </c>
      <c r="I3" s="1" t="s">
        <v>14</v>
      </c>
      <c r="J3" s="1"/>
    </row>
    <row r="4" spans="1:10" ht="23.25" x14ac:dyDescent="0.35">
      <c r="A4" s="5">
        <v>1</v>
      </c>
      <c r="B4" s="5">
        <v>0</v>
      </c>
      <c r="C4" s="7">
        <v>0.1</v>
      </c>
      <c r="D4" s="8">
        <v>0.9</v>
      </c>
      <c r="E4" s="8">
        <f>B4*LOG(C4)</f>
        <v>0</v>
      </c>
      <c r="F4" s="8">
        <f>(1-B4)*LOG(D4)</f>
        <v>-4.5757490560675115E-2</v>
      </c>
      <c r="G4" s="8">
        <f>E4+F4</f>
        <v>-4.5757490560675115E-2</v>
      </c>
      <c r="H4" s="1">
        <v>0.8</v>
      </c>
      <c r="I4" s="1">
        <f>LOG(H4)</f>
        <v>-9.6910013008056392E-2</v>
      </c>
      <c r="J4" s="1"/>
    </row>
    <row r="5" spans="1:10" ht="23.25" x14ac:dyDescent="0.35">
      <c r="A5" s="5">
        <v>2</v>
      </c>
      <c r="B5" s="5">
        <v>1</v>
      </c>
      <c r="C5" s="8">
        <v>0.9</v>
      </c>
      <c r="D5" s="7">
        <v>0.1</v>
      </c>
      <c r="E5" s="8">
        <f t="shared" ref="E5:E8" si="0">B5*LOG(C5)</f>
        <v>-4.5757490560675115E-2</v>
      </c>
      <c r="F5" s="8">
        <f t="shared" ref="F5:F8" si="1">(1-B5)*LOG(D5)</f>
        <v>0</v>
      </c>
      <c r="G5" s="8">
        <f>E5+F5</f>
        <v>-4.5757490560675115E-2</v>
      </c>
      <c r="H5" s="1">
        <v>0.9</v>
      </c>
      <c r="I5" s="1">
        <f t="shared" ref="I5:I8" si="2">LOG(H5)</f>
        <v>-4.5757490560675115E-2</v>
      </c>
      <c r="J5" s="1"/>
    </row>
    <row r="6" spans="1:10" ht="23.25" x14ac:dyDescent="0.35">
      <c r="A6" s="5">
        <v>3</v>
      </c>
      <c r="B6" s="5">
        <v>0</v>
      </c>
      <c r="C6" s="7">
        <v>0.01</v>
      </c>
      <c r="D6" s="8">
        <v>0.99</v>
      </c>
      <c r="E6" s="8">
        <f t="shared" si="0"/>
        <v>0</v>
      </c>
      <c r="F6" s="8">
        <f t="shared" si="1"/>
        <v>-4.3648054024500883E-3</v>
      </c>
      <c r="G6" s="8">
        <f>E6+F6</f>
        <v>-4.3648054024500883E-3</v>
      </c>
      <c r="H6" s="1">
        <v>0.99</v>
      </c>
      <c r="I6" s="1">
        <f t="shared" si="2"/>
        <v>-4.3648054024500883E-3</v>
      </c>
      <c r="J6" s="1"/>
    </row>
    <row r="7" spans="1:10" ht="23.25" x14ac:dyDescent="0.35">
      <c r="A7" s="5">
        <v>4</v>
      </c>
      <c r="B7" s="5">
        <v>1</v>
      </c>
      <c r="C7" s="8">
        <v>0.98</v>
      </c>
      <c r="D7" s="7">
        <v>0.02</v>
      </c>
      <c r="E7" s="8">
        <f t="shared" si="0"/>
        <v>-8.7739243075051505E-3</v>
      </c>
      <c r="F7" s="8">
        <f t="shared" si="1"/>
        <v>0</v>
      </c>
      <c r="G7" s="8">
        <f>E7+F7</f>
        <v>-8.7739243075051505E-3</v>
      </c>
      <c r="H7" s="1">
        <v>0.98</v>
      </c>
      <c r="I7" s="1">
        <f t="shared" si="2"/>
        <v>-8.7739243075051505E-3</v>
      </c>
      <c r="J7" s="1"/>
    </row>
    <row r="8" spans="1:10" ht="23.25" x14ac:dyDescent="0.35">
      <c r="A8" s="5">
        <v>5</v>
      </c>
      <c r="B8" s="5">
        <v>1</v>
      </c>
      <c r="C8" s="8">
        <v>0.89</v>
      </c>
      <c r="D8" s="7">
        <v>0.11</v>
      </c>
      <c r="E8" s="8">
        <f t="shared" si="0"/>
        <v>-5.0609993355087209E-2</v>
      </c>
      <c r="F8" s="8">
        <f t="shared" si="1"/>
        <v>0</v>
      </c>
      <c r="G8" s="8">
        <f>E8+F8</f>
        <v>-5.0609993355087209E-2</v>
      </c>
      <c r="H8" s="1">
        <v>0.89</v>
      </c>
      <c r="I8" s="1">
        <f t="shared" si="2"/>
        <v>-5.0609993355087209E-2</v>
      </c>
      <c r="J8" s="1"/>
    </row>
    <row r="9" spans="1:10" ht="23.25" x14ac:dyDescent="0.35">
      <c r="C9" s="1"/>
      <c r="D9" s="1"/>
      <c r="E9" s="2"/>
      <c r="F9" s="2"/>
      <c r="G9" s="2"/>
      <c r="H9" s="1" t="s">
        <v>13</v>
      </c>
      <c r="I9" s="1">
        <f xml:space="preserve"> - 1/5 * SUM(I4:I8)</f>
        <v>4.1283245326754793E-2</v>
      </c>
      <c r="J9" s="1"/>
    </row>
    <row r="10" spans="1:10" ht="23.25" x14ac:dyDescent="0.35">
      <c r="B10" s="4" t="s">
        <v>5</v>
      </c>
      <c r="C10" s="1"/>
      <c r="D10" s="1"/>
      <c r="E10" s="2"/>
      <c r="F10" s="2"/>
      <c r="G10" s="2"/>
      <c r="H10" s="1"/>
      <c r="I10" s="1"/>
      <c r="J10" s="1"/>
    </row>
    <row r="11" spans="1:10" ht="23.25" x14ac:dyDescent="0.35">
      <c r="C11" s="1"/>
      <c r="D11" s="1"/>
      <c r="E11" s="1"/>
      <c r="F11" s="1"/>
      <c r="G11" s="1"/>
      <c r="H11" s="1"/>
      <c r="I11" s="1"/>
      <c r="J11" s="1"/>
    </row>
    <row r="12" spans="1:10" ht="23.25" x14ac:dyDescent="0.35">
      <c r="B12" s="1" t="s">
        <v>4</v>
      </c>
      <c r="C12" s="1">
        <f xml:space="preserve"> - 1/5 * SUM(G4:G8)</f>
        <v>3.1052740837278537E-2</v>
      </c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E13" sqref="E13"/>
    </sheetView>
  </sheetViews>
  <sheetFormatPr defaultRowHeight="15" x14ac:dyDescent="0.25"/>
  <cols>
    <col min="1" max="1" width="17.28515625" bestFit="1" customWidth="1"/>
    <col min="2" max="2" width="15" bestFit="1" customWidth="1"/>
    <col min="3" max="3" width="25.5703125" customWidth="1"/>
    <col min="4" max="4" width="32.85546875" customWidth="1"/>
    <col min="5" max="5" width="8" customWidth="1"/>
    <col min="6" max="6" width="20.42578125" bestFit="1" customWidth="1"/>
    <col min="7" max="7" width="42.85546875" bestFit="1" customWidth="1"/>
    <col min="8" max="8" width="73.5703125" bestFit="1" customWidth="1"/>
    <col min="9" max="9" width="21.42578125" bestFit="1" customWidth="1"/>
  </cols>
  <sheetData>
    <row r="1" spans="1:10" ht="36" x14ac:dyDescent="0.55000000000000004">
      <c r="D1" s="3" t="s">
        <v>10</v>
      </c>
    </row>
    <row r="2" spans="1:10" ht="23.25" x14ac:dyDescent="0.35">
      <c r="H2" s="4" t="s">
        <v>12</v>
      </c>
    </row>
    <row r="3" spans="1:10" ht="77.25" customHeight="1" x14ac:dyDescent="0.35">
      <c r="A3" s="5" t="s">
        <v>0</v>
      </c>
      <c r="B3" s="5" t="s">
        <v>6</v>
      </c>
      <c r="C3" s="6" t="s">
        <v>1</v>
      </c>
      <c r="D3" s="6" t="s">
        <v>2</v>
      </c>
      <c r="E3" s="5" t="s">
        <v>7</v>
      </c>
      <c r="F3" s="5" t="s">
        <v>8</v>
      </c>
      <c r="G3" s="5" t="s">
        <v>9</v>
      </c>
      <c r="H3" s="1" t="s">
        <v>3</v>
      </c>
      <c r="I3" s="1" t="s">
        <v>14</v>
      </c>
      <c r="J3" s="1"/>
    </row>
    <row r="4" spans="1:10" ht="23.25" x14ac:dyDescent="0.35">
      <c r="A4" s="5">
        <v>1</v>
      </c>
      <c r="B4" s="5">
        <v>0</v>
      </c>
      <c r="C4" s="7">
        <v>0.2</v>
      </c>
      <c r="D4" s="8">
        <v>0.8</v>
      </c>
      <c r="E4" s="8">
        <f>B4*LOG(C4)</f>
        <v>0</v>
      </c>
      <c r="F4" s="8">
        <f>(1-B4)*LOG(D4)</f>
        <v>-9.6910013008056392E-2</v>
      </c>
      <c r="G4" s="8">
        <f>E4+F4</f>
        <v>-9.6910013008056392E-2</v>
      </c>
      <c r="H4" s="1">
        <v>0.8</v>
      </c>
      <c r="I4" s="1">
        <f>LOG(H4)</f>
        <v>-9.6910013008056392E-2</v>
      </c>
      <c r="J4" s="1"/>
    </row>
    <row r="5" spans="1:10" ht="23.25" x14ac:dyDescent="0.35">
      <c r="A5" s="5">
        <v>2</v>
      </c>
      <c r="B5" s="5">
        <v>1</v>
      </c>
      <c r="C5" s="8">
        <v>0.9</v>
      </c>
      <c r="D5" s="7">
        <v>0.1</v>
      </c>
      <c r="E5" s="8">
        <f t="shared" ref="E5:E8" si="0">B5*LOG(C5)</f>
        <v>-4.5757490560675115E-2</v>
      </c>
      <c r="F5" s="8">
        <f t="shared" ref="F5:F8" si="1">(1-B5)*LOG(D5)</f>
        <v>0</v>
      </c>
      <c r="G5" s="8">
        <f>E5+F5</f>
        <v>-4.5757490560675115E-2</v>
      </c>
      <c r="H5" s="1">
        <v>0.9</v>
      </c>
      <c r="I5" s="1">
        <f t="shared" ref="I5:I8" si="2">LOG(H5)</f>
        <v>-4.5757490560675115E-2</v>
      </c>
      <c r="J5" s="1"/>
    </row>
    <row r="6" spans="1:10" ht="23.25" x14ac:dyDescent="0.35">
      <c r="A6" s="5">
        <v>3</v>
      </c>
      <c r="B6" s="5">
        <v>0</v>
      </c>
      <c r="C6" s="9">
        <v>0.8</v>
      </c>
      <c r="D6" s="10">
        <v>0.2</v>
      </c>
      <c r="E6" s="10">
        <f t="shared" si="0"/>
        <v>0</v>
      </c>
      <c r="F6" s="10">
        <f t="shared" si="1"/>
        <v>-0.69897000433601875</v>
      </c>
      <c r="G6" s="10">
        <f>E6+F6</f>
        <v>-0.69897000433601875</v>
      </c>
      <c r="H6" s="1">
        <v>0.2</v>
      </c>
      <c r="I6" s="1">
        <f t="shared" si="2"/>
        <v>-0.69897000433601875</v>
      </c>
      <c r="J6" s="1"/>
    </row>
    <row r="7" spans="1:10" ht="23.25" x14ac:dyDescent="0.35">
      <c r="A7" s="5">
        <v>4</v>
      </c>
      <c r="B7" s="5">
        <v>1</v>
      </c>
      <c r="C7" s="10">
        <v>0.51</v>
      </c>
      <c r="D7" s="9">
        <v>0.49</v>
      </c>
      <c r="E7" s="10">
        <f t="shared" si="0"/>
        <v>-0.29242982390206362</v>
      </c>
      <c r="F7" s="10">
        <f t="shared" si="1"/>
        <v>0</v>
      </c>
      <c r="G7" s="10">
        <f>E7+F7</f>
        <v>-0.29242982390206362</v>
      </c>
      <c r="H7" s="1">
        <v>0.51</v>
      </c>
      <c r="I7" s="1">
        <f t="shared" si="2"/>
        <v>-0.29242982390206362</v>
      </c>
      <c r="J7" s="1"/>
    </row>
    <row r="8" spans="1:10" ht="23.25" x14ac:dyDescent="0.35">
      <c r="A8" s="5">
        <v>5</v>
      </c>
      <c r="B8" s="5">
        <v>1</v>
      </c>
      <c r="C8" s="10">
        <v>0.1</v>
      </c>
      <c r="D8" s="9">
        <v>0.9</v>
      </c>
      <c r="E8" s="10">
        <f t="shared" si="0"/>
        <v>-1</v>
      </c>
      <c r="F8" s="10">
        <f t="shared" si="1"/>
        <v>0</v>
      </c>
      <c r="G8" s="10">
        <f>E8+F8</f>
        <v>-1</v>
      </c>
      <c r="H8" s="1">
        <v>0.1</v>
      </c>
      <c r="I8" s="1">
        <f t="shared" si="2"/>
        <v>-1</v>
      </c>
      <c r="J8" s="1"/>
    </row>
    <row r="9" spans="1:10" ht="23.25" x14ac:dyDescent="0.35">
      <c r="C9" s="1"/>
      <c r="D9" s="1"/>
      <c r="E9" s="2"/>
      <c r="F9" s="2"/>
      <c r="G9" s="2"/>
      <c r="H9" s="1" t="s">
        <v>13</v>
      </c>
      <c r="I9" s="1">
        <f xml:space="preserve"> - 1/5 * SUM(I4:I8)</f>
        <v>0.4268134663613628</v>
      </c>
      <c r="J9" s="1"/>
    </row>
    <row r="10" spans="1:10" ht="23.25" x14ac:dyDescent="0.35">
      <c r="B10" s="4" t="s">
        <v>5</v>
      </c>
      <c r="C10" s="1"/>
      <c r="D10" s="1"/>
      <c r="E10" s="2"/>
      <c r="F10" s="2"/>
      <c r="G10" s="2"/>
      <c r="H10" s="1"/>
      <c r="I10" s="1"/>
      <c r="J10" s="1"/>
    </row>
    <row r="11" spans="1:10" ht="23.25" x14ac:dyDescent="0.35">
      <c r="C11" s="1"/>
      <c r="D11" s="1"/>
      <c r="E11" s="1"/>
      <c r="F11" s="1"/>
      <c r="G11" s="1"/>
      <c r="H11" s="1"/>
      <c r="I11" s="1"/>
      <c r="J11" s="1"/>
    </row>
    <row r="12" spans="1:10" ht="23.25" x14ac:dyDescent="0.35">
      <c r="B12" s="1" t="s">
        <v>4</v>
      </c>
      <c r="C12" s="1">
        <f xml:space="preserve"> - 1/5 * SUM(G4:G8)</f>
        <v>0.4268134663613628</v>
      </c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2024-06-01T07:06:51Z</dcterms:created>
  <dcterms:modified xsi:type="dcterms:W3CDTF">2024-06-29T08:52:23Z</dcterms:modified>
</cp:coreProperties>
</file>