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dacstaff\Downloads\Topic2-20260519T055118Z-3-001\Topic2\"/>
    </mc:Choice>
  </mc:AlternateContent>
  <bookViews>
    <workbookView xWindow="0" yWindow="0" windowWidth="15360" windowHeight="762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8" i="1" l="1"/>
  <c r="F39" i="1"/>
  <c r="F40" i="1"/>
  <c r="F41" i="1"/>
  <c r="F42" i="1"/>
  <c r="F43" i="1"/>
  <c r="F44" i="1"/>
  <c r="F37" i="1"/>
  <c r="D38" i="1"/>
  <c r="D39" i="1"/>
  <c r="D40" i="1"/>
  <c r="D41" i="1"/>
  <c r="D42" i="1"/>
  <c r="D43" i="1"/>
  <c r="D44" i="1"/>
  <c r="D37" i="1"/>
  <c r="E44" i="1"/>
  <c r="E43" i="1"/>
  <c r="K42" i="1"/>
  <c r="E42" i="1"/>
  <c r="K41" i="1"/>
  <c r="E41" i="1"/>
  <c r="E40" i="1"/>
  <c r="E39" i="1"/>
  <c r="K38" i="1"/>
  <c r="E38" i="1"/>
  <c r="K37" i="1"/>
  <c r="E37" i="1"/>
  <c r="K31" i="1"/>
  <c r="K30" i="1"/>
  <c r="K27" i="1"/>
  <c r="K26" i="1"/>
  <c r="F27" i="1"/>
  <c r="F28" i="1"/>
  <c r="F29" i="1"/>
  <c r="F30" i="1"/>
  <c r="F31" i="1"/>
  <c r="F32" i="1"/>
  <c r="F33" i="1"/>
  <c r="F26" i="1"/>
  <c r="E27" i="1"/>
  <c r="E28" i="1"/>
  <c r="E29" i="1"/>
  <c r="E30" i="1"/>
  <c r="E31" i="1"/>
  <c r="E32" i="1"/>
  <c r="E33" i="1"/>
  <c r="E26" i="1"/>
  <c r="D33" i="1"/>
  <c r="D32" i="1"/>
  <c r="D31" i="1"/>
  <c r="D30" i="1"/>
  <c r="D29" i="1"/>
  <c r="D28" i="1"/>
  <c r="D27" i="1"/>
  <c r="D26" i="1"/>
  <c r="K20" i="1"/>
  <c r="K19" i="1"/>
  <c r="K18" i="1"/>
  <c r="K17" i="1"/>
  <c r="F16" i="1"/>
  <c r="F17" i="1"/>
  <c r="F18" i="1"/>
  <c r="F19" i="1"/>
  <c r="F20" i="1"/>
  <c r="F21" i="1"/>
  <c r="F22" i="1"/>
  <c r="E16" i="1"/>
  <c r="E17" i="1"/>
  <c r="E18" i="1"/>
  <c r="E19" i="1"/>
  <c r="E20" i="1"/>
  <c r="E21" i="1"/>
  <c r="E22" i="1"/>
  <c r="E15" i="1"/>
  <c r="F15" i="1"/>
  <c r="D16" i="1"/>
  <c r="D17" i="1"/>
  <c r="D18" i="1"/>
  <c r="D19" i="1"/>
  <c r="D20" i="1"/>
  <c r="D21" i="1"/>
  <c r="D22" i="1"/>
  <c r="D15" i="1"/>
</calcChain>
</file>

<file path=xl/sharedStrings.xml><?xml version="1.0" encoding="utf-8"?>
<sst xmlns="http://schemas.openxmlformats.org/spreadsheetml/2006/main" count="112" uniqueCount="42">
  <si>
    <t>p1</t>
  </si>
  <si>
    <t>p2</t>
  </si>
  <si>
    <t>p3</t>
  </si>
  <si>
    <t>p4</t>
  </si>
  <si>
    <t>p5</t>
  </si>
  <si>
    <t>p6</t>
  </si>
  <si>
    <t>p7</t>
  </si>
  <si>
    <t>p8</t>
  </si>
  <si>
    <t>k=3</t>
  </si>
  <si>
    <t>c1(2,2)</t>
  </si>
  <si>
    <t>c2(1,14)</t>
  </si>
  <si>
    <t>c3(4,3)</t>
  </si>
  <si>
    <t>ITERATION 1   Point p1, p2 and p7 are randomly selected as 3 different centroids</t>
  </si>
  <si>
    <t>ITERATION 2  new centroids are c1(2,2) c2(1,12.5) and c3(8,6.2)</t>
  </si>
  <si>
    <t>c2(1,12.5)</t>
  </si>
  <si>
    <t>c3(8,6.2)</t>
  </si>
  <si>
    <t>ITERATION 3  new centroids are c1(3,3) c2(1,12.5) and c3(11,8)</t>
  </si>
  <si>
    <t>c1(3,3)</t>
  </si>
  <si>
    <t>c3(11,8)</t>
  </si>
  <si>
    <t>SO STOP</t>
  </si>
  <si>
    <t>c1</t>
  </si>
  <si>
    <t>c2</t>
  </si>
  <si>
    <t>c3</t>
  </si>
  <si>
    <t>K MEANS</t>
  </si>
  <si>
    <t>Cluster no</t>
  </si>
  <si>
    <t>calculate centroid of all 3 clusters</t>
  </si>
  <si>
    <t>NO CHANGE in Centroid</t>
  </si>
  <si>
    <t>x1</t>
  </si>
  <si>
    <t>x2</t>
  </si>
  <si>
    <t>P1</t>
  </si>
  <si>
    <t>P2</t>
  </si>
  <si>
    <t>P7</t>
  </si>
  <si>
    <t>(145)^1/2</t>
  </si>
  <si>
    <t>(5)^1/2</t>
  </si>
  <si>
    <t>X1</t>
  </si>
  <si>
    <t>X2</t>
  </si>
  <si>
    <t>c1_x1</t>
  </si>
  <si>
    <t>c1_x2</t>
  </si>
  <si>
    <t>c2_x1</t>
  </si>
  <si>
    <t>c2_x2</t>
  </si>
  <si>
    <t>c3_x1</t>
  </si>
  <si>
    <t>c3_x2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</si>
</sst>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Font="1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4" fillId="0" borderId="0" xfId="0" applyFont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Sheet1!$B$2:$B$9</c:f>
              <c:numCache>
                <c:formatCode>General</c:formatCode>
                <c:ptCount val="8"/>
                <c:pt idx="0">
                  <c:v>2</c:v>
                </c:pt>
                <c:pt idx="1">
                  <c:v>1</c:v>
                </c:pt>
                <c:pt idx="2">
                  <c:v>10</c:v>
                </c:pt>
                <c:pt idx="3">
                  <c:v>1</c:v>
                </c:pt>
                <c:pt idx="4">
                  <c:v>3</c:v>
                </c:pt>
                <c:pt idx="5">
                  <c:v>11</c:v>
                </c:pt>
                <c:pt idx="6">
                  <c:v>4</c:v>
                </c:pt>
                <c:pt idx="7">
                  <c:v>12</c:v>
                </c:pt>
              </c:numCache>
            </c:numRef>
          </c:xVal>
          <c:yVal>
            <c:numRef>
              <c:f>Sheet1!$C$2:$C$9</c:f>
              <c:numCache>
                <c:formatCode>General</c:formatCode>
                <c:ptCount val="8"/>
                <c:pt idx="0">
                  <c:v>2</c:v>
                </c:pt>
                <c:pt idx="1">
                  <c:v>14</c:v>
                </c:pt>
                <c:pt idx="2">
                  <c:v>7</c:v>
                </c:pt>
                <c:pt idx="3">
                  <c:v>11</c:v>
                </c:pt>
                <c:pt idx="4">
                  <c:v>4</c:v>
                </c:pt>
                <c:pt idx="5">
                  <c:v>8</c:v>
                </c:pt>
                <c:pt idx="6">
                  <c:v>3</c:v>
                </c:pt>
                <c:pt idx="7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C3-49B6-86AA-DF5A3D605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16864"/>
        <c:axId val="135718784"/>
      </c:scatterChart>
      <c:valAx>
        <c:axId val="135716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X1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8784"/>
        <c:crosses val="autoZero"/>
        <c:crossBetween val="midCat"/>
      </c:valAx>
      <c:valAx>
        <c:axId val="13571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X2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6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Sheet1!$C$36</c:f>
              <c:strCache>
                <c:ptCount val="1"/>
                <c:pt idx="0">
                  <c:v>X2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Sheet1!$B$37:$B$47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2">
                  <c:v>10</c:v>
                </c:pt>
                <c:pt idx="3">
                  <c:v>1</c:v>
                </c:pt>
                <c:pt idx="4">
                  <c:v>3</c:v>
                </c:pt>
                <c:pt idx="5">
                  <c:v>11</c:v>
                </c:pt>
                <c:pt idx="6">
                  <c:v>4</c:v>
                </c:pt>
                <c:pt idx="7">
                  <c:v>12</c:v>
                </c:pt>
                <c:pt idx="8">
                  <c:v>3</c:v>
                </c:pt>
                <c:pt idx="9">
                  <c:v>1</c:v>
                </c:pt>
                <c:pt idx="10">
                  <c:v>11</c:v>
                </c:pt>
              </c:numCache>
            </c:numRef>
          </c:xVal>
          <c:yVal>
            <c:numRef>
              <c:f>Sheet1!$C$37:$C$47</c:f>
              <c:numCache>
                <c:formatCode>General</c:formatCode>
                <c:ptCount val="11"/>
                <c:pt idx="0">
                  <c:v>2</c:v>
                </c:pt>
                <c:pt idx="1">
                  <c:v>14</c:v>
                </c:pt>
                <c:pt idx="2">
                  <c:v>7</c:v>
                </c:pt>
                <c:pt idx="3">
                  <c:v>11</c:v>
                </c:pt>
                <c:pt idx="4">
                  <c:v>4</c:v>
                </c:pt>
                <c:pt idx="5">
                  <c:v>8</c:v>
                </c:pt>
                <c:pt idx="6">
                  <c:v>3</c:v>
                </c:pt>
                <c:pt idx="7">
                  <c:v>9</c:v>
                </c:pt>
                <c:pt idx="8">
                  <c:v>3</c:v>
                </c:pt>
                <c:pt idx="9">
                  <c:v>12.5</c:v>
                </c:pt>
                <c:pt idx="1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10-4EBF-9BAF-9E6C7CD29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00320"/>
        <c:axId val="135802240"/>
      </c:scatterChart>
      <c:valAx>
        <c:axId val="13580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02240"/>
        <c:crosses val="autoZero"/>
        <c:crossBetween val="midCat"/>
      </c:valAx>
      <c:valAx>
        <c:axId val="13580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00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476250</xdr:colOff>
      <xdr:row>0</xdr:row>
      <xdr:rowOff>128587</xdr:rowOff>
    </xdr:from>
    <xdr:to>
      <xdr:col>14</xdr:col>
      <xdr:colOff>171450</xdr:colOff>
      <xdr:row>11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490537</xdr:colOff>
      <xdr:row>49</xdr:row>
      <xdr:rowOff>100012</xdr:rowOff>
    </xdr:from>
    <xdr:to>
      <xdr:col>11</xdr:col>
      <xdr:colOff>185737</xdr:colOff>
      <xdr:row>63</xdr:row>
      <xdr:rowOff>176212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533400</xdr:colOff>
      <xdr:row>52</xdr:row>
      <xdr:rowOff>66675</xdr:rowOff>
    </xdr:from>
    <xdr:to>
      <xdr:col>5</xdr:col>
      <xdr:colOff>57150</xdr:colOff>
      <xdr:row>53</xdr:row>
      <xdr:rowOff>9525</xdr:rowOff>
    </xdr:to>
    <xdr:sp macro="" textlink="">
      <xdr:nvSpPr>
        <xdr:cNvPr id="6" name="Right Arrow 5"/>
        <xdr:cNvSpPr/>
      </xdr:nvSpPr>
      <xdr:spPr>
        <a:xfrm>
          <a:off x="2971800" y="9972675"/>
          <a:ext cx="133350" cy="133350"/>
        </a:xfrm>
        <a:prstGeom prst="rightArrow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514350</xdr:colOff>
      <xdr:row>58</xdr:row>
      <xdr:rowOff>152400</xdr:rowOff>
    </xdr:from>
    <xdr:to>
      <xdr:col>6</xdr:col>
      <xdr:colOff>38100</xdr:colOff>
      <xdr:row>59</xdr:row>
      <xdr:rowOff>95250</xdr:rowOff>
    </xdr:to>
    <xdr:sp macro="" textlink="">
      <xdr:nvSpPr>
        <xdr:cNvPr id="8" name="Right Arrow 7"/>
        <xdr:cNvSpPr/>
      </xdr:nvSpPr>
      <xdr:spPr>
        <a:xfrm>
          <a:off x="3562350" y="11201400"/>
          <a:ext cx="133350" cy="133350"/>
        </a:xfrm>
        <a:prstGeom prst="rightArrow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200025</xdr:colOff>
      <xdr:row>55</xdr:row>
      <xdr:rowOff>57150</xdr:rowOff>
    </xdr:from>
    <xdr:to>
      <xdr:col>9</xdr:col>
      <xdr:colOff>333375</xdr:colOff>
      <xdr:row>56</xdr:row>
      <xdr:rowOff>0</xdr:rowOff>
    </xdr:to>
    <xdr:sp macro="" textlink="">
      <xdr:nvSpPr>
        <xdr:cNvPr id="9" name="Right Arrow 8"/>
        <xdr:cNvSpPr/>
      </xdr:nvSpPr>
      <xdr:spPr>
        <a:xfrm>
          <a:off x="5686425" y="10534650"/>
          <a:ext cx="133350" cy="133350"/>
        </a:xfrm>
        <a:prstGeom prst="rightArrow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190500</xdr:colOff>
      <xdr:row>7</xdr:row>
      <xdr:rowOff>66675</xdr:rowOff>
    </xdr:from>
    <xdr:to>
      <xdr:col>8</xdr:col>
      <xdr:colOff>285750</xdr:colOff>
      <xdr:row>7</xdr:row>
      <xdr:rowOff>171450</xdr:rowOff>
    </xdr:to>
    <xdr:sp macro="" textlink="">
      <xdr:nvSpPr>
        <xdr:cNvPr id="10" name="Right Arrow 9"/>
        <xdr:cNvSpPr/>
      </xdr:nvSpPr>
      <xdr:spPr>
        <a:xfrm>
          <a:off x="5067300" y="1400175"/>
          <a:ext cx="95250" cy="104775"/>
        </a:xfrm>
        <a:prstGeom prst="righ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523875</xdr:colOff>
      <xdr:row>1</xdr:row>
      <xdr:rowOff>171450</xdr:rowOff>
    </xdr:from>
    <xdr:to>
      <xdr:col>8</xdr:col>
      <xdr:colOff>9525</xdr:colOff>
      <xdr:row>2</xdr:row>
      <xdr:rowOff>85725</xdr:rowOff>
    </xdr:to>
    <xdr:sp macro="" textlink="">
      <xdr:nvSpPr>
        <xdr:cNvPr id="11" name="Right Arrow 10"/>
        <xdr:cNvSpPr/>
      </xdr:nvSpPr>
      <xdr:spPr>
        <a:xfrm>
          <a:off x="4791075" y="361950"/>
          <a:ext cx="95250" cy="104775"/>
        </a:xfrm>
        <a:prstGeom prst="righ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6</xdr:row>
      <xdr:rowOff>180975</xdr:rowOff>
    </xdr:from>
    <xdr:to>
      <xdr:col>9</xdr:col>
      <xdr:colOff>238125</xdr:colOff>
      <xdr:row>7</xdr:row>
      <xdr:rowOff>95250</xdr:rowOff>
    </xdr:to>
    <xdr:sp macro="" textlink="">
      <xdr:nvSpPr>
        <xdr:cNvPr id="12" name="Right Arrow 11"/>
        <xdr:cNvSpPr/>
      </xdr:nvSpPr>
      <xdr:spPr>
        <a:xfrm>
          <a:off x="5629275" y="1323975"/>
          <a:ext cx="95250" cy="104775"/>
        </a:xfrm>
        <a:prstGeom prst="righ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22</xdr:col>
      <xdr:colOff>152400</xdr:colOff>
      <xdr:row>30</xdr:row>
      <xdr:rowOff>181302</xdr:rowOff>
    </xdr:to>
    <xdr:sp macro="" textlink="">
      <xdr:nvSpPr>
        <xdr:cNvPr id="3" name="Content Placeholder 2"/>
        <xdr:cNvSpPr>
          <a:spLocks noGrp="1"/>
        </xdr:cNvSpPr>
      </xdr:nvSpPr>
      <xdr:spPr>
        <a:xfrm>
          <a:off x="3048000" y="0"/>
          <a:ext cx="10515600" cy="5896302"/>
        </a:xfrm>
        <a:prstGeom prst="rect">
          <a:avLst/>
        </a:prstGeom>
      </xdr:spPr>
      <xdr:txBody>
        <a:bodyPr vert="horz" wrap="square" lIns="91440" tIns="45720" rIns="91440" bIns="45720" rtlCol="0">
          <a:normAutofit fontScale="92500" lnSpcReduction="20000"/>
        </a:bodyPr>
        <a:lstStyle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Input from user: </a:t>
          </a:r>
        </a:p>
        <a:p>
          <a:pPr lvl="1"/>
          <a:r>
            <a:rPr lang="en-US"/>
            <a:t>X_train ( without Y_train / label / target)</a:t>
          </a:r>
        </a:p>
        <a:p>
          <a:pPr lvl="1"/>
          <a:r>
            <a:rPr lang="en-US"/>
            <a:t>K -&gt; number of clusters to be created </a:t>
          </a:r>
        </a:p>
        <a:p>
          <a:r>
            <a:rPr lang="en-US"/>
            <a:t>Step 1: </a:t>
          </a:r>
        </a:p>
        <a:p>
          <a:pPr lvl="1"/>
          <a:r>
            <a:rPr lang="en-US"/>
            <a:t>Select K random points from data as centroids (smartly using k-means++)</a:t>
          </a:r>
        </a:p>
        <a:p>
          <a:r>
            <a:rPr lang="en-US"/>
            <a:t>Step 2: </a:t>
          </a:r>
        </a:p>
        <a:p>
          <a:pPr lvl="1"/>
          <a:r>
            <a:rPr lang="en-US"/>
            <a:t>Find distance of every point from every centroid :: size ( n by k )</a:t>
          </a:r>
        </a:p>
        <a:p>
          <a:r>
            <a:rPr lang="en-US"/>
            <a:t>Step 3: </a:t>
          </a:r>
        </a:p>
        <a:p>
          <a:pPr lvl="1"/>
          <a:r>
            <a:rPr lang="en-US"/>
            <a:t>Based on closest centroid assign the cluster no to every point</a:t>
          </a:r>
        </a:p>
        <a:p>
          <a:r>
            <a:rPr lang="en-US"/>
            <a:t>Step 4:</a:t>
          </a:r>
        </a:p>
        <a:p>
          <a:pPr lvl="1"/>
          <a:r>
            <a:rPr lang="en-US"/>
            <a:t>Calculate NEW centroid for every cluster</a:t>
          </a:r>
        </a:p>
        <a:p>
          <a:pPr lvl="1"/>
          <a:r>
            <a:rPr lang="en-US"/>
            <a:t>Formula: m is number of points in a cluster</a:t>
          </a:r>
        </a:p>
        <a:p>
          <a:pPr lvl="1"/>
          <a:r>
            <a:rPr lang="en-US"/>
            <a:t>X_centroid = (x_1 + x_2 + … + x_m) / m</a:t>
          </a:r>
        </a:p>
        <a:p>
          <a:pPr lvl="1"/>
          <a:r>
            <a:rPr lang="en-US"/>
            <a:t>Y_centroid = (y_1 + y_2 + …. + y_m) / m</a:t>
          </a:r>
        </a:p>
        <a:p>
          <a:r>
            <a:rPr lang="en-US"/>
            <a:t>Step 5: </a:t>
          </a:r>
        </a:p>
        <a:p>
          <a:pPr lvl="1"/>
          <a:r>
            <a:rPr lang="en-US"/>
            <a:t>if All New centroids and old centroids are same </a:t>
          </a:r>
          <a:r>
            <a:rPr lang="en-US">
              <a:sym typeface="Wingdings" panose="05000000000000000000" pitchFamily="2" charset="2"/>
            </a:rPr>
            <a:t> STOP</a:t>
          </a:r>
        </a:p>
        <a:p>
          <a:pPr lvl="1"/>
          <a:r>
            <a:rPr lang="en-US">
              <a:sym typeface="Wingdings" panose="05000000000000000000" pitchFamily="2" charset="2"/>
            </a:rPr>
            <a:t>Else : go to step 2</a:t>
          </a:r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tabSelected="1" topLeftCell="H31" zoomScale="180" zoomScaleNormal="180" workbookViewId="0">
      <selection activeCell="J37" sqref="J37:J42"/>
    </sheetView>
  </sheetViews>
  <sheetFormatPr defaultRowHeight="15" x14ac:dyDescent="0.25"/>
  <sheetData>
    <row r="1" spans="1:11" x14ac:dyDescent="0.25">
      <c r="B1" t="s">
        <v>34</v>
      </c>
      <c r="C1" t="s">
        <v>35</v>
      </c>
      <c r="E1" t="s">
        <v>8</v>
      </c>
    </row>
    <row r="2" spans="1:11" x14ac:dyDescent="0.25">
      <c r="A2" s="1" t="s">
        <v>0</v>
      </c>
      <c r="B2" s="1">
        <v>2</v>
      </c>
      <c r="C2" s="1">
        <v>2</v>
      </c>
    </row>
    <row r="3" spans="1:11" x14ac:dyDescent="0.25">
      <c r="A3" s="1" t="s">
        <v>1</v>
      </c>
      <c r="B3" s="1">
        <v>1</v>
      </c>
      <c r="C3" s="1">
        <v>14</v>
      </c>
    </row>
    <row r="4" spans="1:11" x14ac:dyDescent="0.25">
      <c r="A4" t="s">
        <v>2</v>
      </c>
      <c r="B4">
        <v>10</v>
      </c>
      <c r="C4">
        <v>7</v>
      </c>
      <c r="E4" t="s">
        <v>23</v>
      </c>
    </row>
    <row r="5" spans="1:11" x14ac:dyDescent="0.25">
      <c r="A5" t="s">
        <v>3</v>
      </c>
      <c r="B5">
        <v>1</v>
      </c>
      <c r="C5">
        <v>11</v>
      </c>
    </row>
    <row r="6" spans="1:11" x14ac:dyDescent="0.25">
      <c r="A6" t="s">
        <v>4</v>
      </c>
      <c r="B6">
        <v>3</v>
      </c>
      <c r="C6">
        <v>4</v>
      </c>
    </row>
    <row r="7" spans="1:11" x14ac:dyDescent="0.25">
      <c r="A7" s="2" t="s">
        <v>5</v>
      </c>
      <c r="B7" s="2">
        <v>11</v>
      </c>
      <c r="C7" s="2">
        <v>8</v>
      </c>
    </row>
    <row r="8" spans="1:11" x14ac:dyDescent="0.25">
      <c r="A8" s="1" t="s">
        <v>6</v>
      </c>
      <c r="B8" s="1">
        <v>4</v>
      </c>
      <c r="C8" s="1">
        <v>3</v>
      </c>
    </row>
    <row r="9" spans="1:11" x14ac:dyDescent="0.25">
      <c r="A9" t="s">
        <v>7</v>
      </c>
      <c r="B9">
        <v>12</v>
      </c>
      <c r="C9">
        <v>9</v>
      </c>
    </row>
    <row r="13" spans="1:11" x14ac:dyDescent="0.25">
      <c r="B13" s="4" t="s">
        <v>12</v>
      </c>
    </row>
    <row r="14" spans="1:11" x14ac:dyDescent="0.25">
      <c r="B14" t="s">
        <v>34</v>
      </c>
      <c r="C14" t="s">
        <v>35</v>
      </c>
      <c r="D14" t="s">
        <v>9</v>
      </c>
      <c r="E14" t="s">
        <v>10</v>
      </c>
      <c r="F14" t="s">
        <v>11</v>
      </c>
      <c r="G14" t="s">
        <v>24</v>
      </c>
      <c r="J14" t="s">
        <v>25</v>
      </c>
    </row>
    <row r="15" spans="1:11" x14ac:dyDescent="0.25">
      <c r="A15" s="2" t="s">
        <v>0</v>
      </c>
      <c r="B15" s="2">
        <v>2</v>
      </c>
      <c r="C15" s="2">
        <v>2</v>
      </c>
      <c r="D15" s="1">
        <f>SQRT(POWER(B15-2,2)+POWER(C15-2,2))</f>
        <v>0</v>
      </c>
      <c r="E15">
        <f>SQRT(POWER(B15-1,2)+POWER(C15-14,2))</f>
        <v>12.041594578792296</v>
      </c>
      <c r="F15">
        <f>SQRT(POWER(B15-4,2)+POWER(C15-3,2))</f>
        <v>2.2360679774997898</v>
      </c>
      <c r="G15">
        <v>1</v>
      </c>
      <c r="J15" t="s">
        <v>36</v>
      </c>
      <c r="K15">
        <v>2</v>
      </c>
    </row>
    <row r="16" spans="1:11" x14ac:dyDescent="0.25">
      <c r="A16" s="2" t="s">
        <v>1</v>
      </c>
      <c r="B16" s="2">
        <v>1</v>
      </c>
      <c r="C16" s="2">
        <v>14</v>
      </c>
      <c r="D16">
        <f t="shared" ref="D16:D22" si="0">SQRT(POWER(B16-2,2)+POWER(C16-2,2))</f>
        <v>12.041594578792296</v>
      </c>
      <c r="E16" s="1">
        <f t="shared" ref="E16:E22" si="1">SQRT(POWER(B16-1,2)+POWER(C16-14,2))</f>
        <v>0</v>
      </c>
      <c r="F16">
        <f t="shared" ref="F16:F22" si="2">SQRT(POWER(B16-4,2)+POWER(C16-3,2))</f>
        <v>11.401754250991379</v>
      </c>
      <c r="G16">
        <v>2</v>
      </c>
      <c r="J16" t="s">
        <v>37</v>
      </c>
      <c r="K16">
        <v>2</v>
      </c>
    </row>
    <row r="17" spans="1:11" x14ac:dyDescent="0.25">
      <c r="A17" s="2" t="s">
        <v>2</v>
      </c>
      <c r="B17" s="2">
        <v>10</v>
      </c>
      <c r="C17" s="2">
        <v>7</v>
      </c>
      <c r="D17">
        <f t="shared" si="0"/>
        <v>9.4339811320566032</v>
      </c>
      <c r="E17">
        <f t="shared" si="1"/>
        <v>11.401754250991379</v>
      </c>
      <c r="F17" s="1">
        <f t="shared" si="2"/>
        <v>7.2111025509279782</v>
      </c>
      <c r="G17">
        <v>3</v>
      </c>
      <c r="J17" t="s">
        <v>38</v>
      </c>
      <c r="K17">
        <f>SUM(B16,B18)/COUNT(B16,B18)</f>
        <v>1</v>
      </c>
    </row>
    <row r="18" spans="1:11" x14ac:dyDescent="0.25">
      <c r="A18" s="2" t="s">
        <v>3</v>
      </c>
      <c r="B18" s="2">
        <v>1</v>
      </c>
      <c r="C18" s="2">
        <v>11</v>
      </c>
      <c r="D18">
        <f t="shared" si="0"/>
        <v>9.0553851381374173</v>
      </c>
      <c r="E18" s="1">
        <f t="shared" si="1"/>
        <v>3</v>
      </c>
      <c r="F18">
        <f t="shared" si="2"/>
        <v>8.5440037453175304</v>
      </c>
      <c r="G18">
        <v>2</v>
      </c>
      <c r="J18" t="s">
        <v>39</v>
      </c>
      <c r="K18">
        <f>SUM(C16,C18)/COUNT(C16,C18)</f>
        <v>12.5</v>
      </c>
    </row>
    <row r="19" spans="1:11" x14ac:dyDescent="0.25">
      <c r="A19" s="2" t="s">
        <v>4</v>
      </c>
      <c r="B19" s="2">
        <v>3</v>
      </c>
      <c r="C19" s="2">
        <v>4</v>
      </c>
      <c r="D19">
        <f t="shared" si="0"/>
        <v>2.2360679774997898</v>
      </c>
      <c r="E19">
        <f t="shared" si="1"/>
        <v>10.198039027185569</v>
      </c>
      <c r="F19" s="1">
        <f t="shared" si="2"/>
        <v>1.4142135623730951</v>
      </c>
      <c r="G19">
        <v>3</v>
      </c>
      <c r="J19" t="s">
        <v>40</v>
      </c>
      <c r="K19">
        <f>SUM(B17,B19:B22)/COUNT(B17,B19:B22)</f>
        <v>8</v>
      </c>
    </row>
    <row r="20" spans="1:11" x14ac:dyDescent="0.25">
      <c r="A20" s="2" t="s">
        <v>5</v>
      </c>
      <c r="B20" s="2">
        <v>11</v>
      </c>
      <c r="C20" s="2">
        <v>8</v>
      </c>
      <c r="D20">
        <f t="shared" si="0"/>
        <v>10.816653826391969</v>
      </c>
      <c r="E20">
        <f t="shared" si="1"/>
        <v>11.661903789690601</v>
      </c>
      <c r="F20" s="1">
        <f t="shared" si="2"/>
        <v>8.6023252670426267</v>
      </c>
      <c r="G20">
        <v>3</v>
      </c>
      <c r="J20" t="s">
        <v>41</v>
      </c>
      <c r="K20">
        <f>SUM(C17,C19:C22)/COUNT(C17,C19:C22)</f>
        <v>6.2</v>
      </c>
    </row>
    <row r="21" spans="1:11" x14ac:dyDescent="0.25">
      <c r="A21" s="2" t="s">
        <v>6</v>
      </c>
      <c r="B21" s="2">
        <v>4</v>
      </c>
      <c r="C21" s="2">
        <v>3</v>
      </c>
      <c r="D21">
        <f t="shared" si="0"/>
        <v>2.2360679774997898</v>
      </c>
      <c r="E21">
        <f t="shared" si="1"/>
        <v>11.401754250991379</v>
      </c>
      <c r="F21" s="1">
        <f t="shared" si="2"/>
        <v>0</v>
      </c>
      <c r="G21">
        <v>3</v>
      </c>
    </row>
    <row r="22" spans="1:11" x14ac:dyDescent="0.25">
      <c r="A22" s="2" t="s">
        <v>7</v>
      </c>
      <c r="B22" s="2">
        <v>12</v>
      </c>
      <c r="C22" s="2">
        <v>9</v>
      </c>
      <c r="D22">
        <f t="shared" si="0"/>
        <v>12.206555615733702</v>
      </c>
      <c r="E22">
        <f t="shared" si="1"/>
        <v>12.083045973594572</v>
      </c>
      <c r="F22" s="1">
        <f t="shared" si="2"/>
        <v>10</v>
      </c>
      <c r="G22">
        <v>3</v>
      </c>
    </row>
    <row r="24" spans="1:11" x14ac:dyDescent="0.25">
      <c r="B24" s="4" t="s">
        <v>13</v>
      </c>
    </row>
    <row r="25" spans="1:11" x14ac:dyDescent="0.25">
      <c r="B25" t="s">
        <v>34</v>
      </c>
      <c r="C25" t="s">
        <v>35</v>
      </c>
      <c r="D25" t="s">
        <v>9</v>
      </c>
      <c r="E25" t="s">
        <v>14</v>
      </c>
      <c r="F25" t="s">
        <v>15</v>
      </c>
      <c r="G25" t="s">
        <v>24</v>
      </c>
      <c r="J25" t="s">
        <v>25</v>
      </c>
    </row>
    <row r="26" spans="1:11" x14ac:dyDescent="0.25">
      <c r="A26" s="2" t="s">
        <v>0</v>
      </c>
      <c r="B26" s="2">
        <v>2</v>
      </c>
      <c r="C26" s="2">
        <v>2</v>
      </c>
      <c r="D26">
        <f>SQRT(POWER(B26-2,2)+POWER(C26-2,2))</f>
        <v>0</v>
      </c>
      <c r="E26">
        <f>SQRT(POWER(B26-1,2)+POWER(C26-12.5,2))</f>
        <v>10.547511554864494</v>
      </c>
      <c r="F26">
        <f>SQRT(POWER(B26-8,2)+POWER(C26-6.2,2))</f>
        <v>7.3239333694402218</v>
      </c>
      <c r="G26">
        <v>1</v>
      </c>
      <c r="J26" t="s">
        <v>36</v>
      </c>
      <c r="K26">
        <f>SUM(B26,B30,B32)/3</f>
        <v>3</v>
      </c>
    </row>
    <row r="27" spans="1:11" x14ac:dyDescent="0.25">
      <c r="A27" s="2" t="s">
        <v>1</v>
      </c>
      <c r="B27" s="2">
        <v>1</v>
      </c>
      <c r="C27" s="2">
        <v>14</v>
      </c>
      <c r="D27">
        <f t="shared" ref="D27:D33" si="3">SQRT(POWER(B27-2,2)+POWER(C27-2,2))</f>
        <v>12.041594578792296</v>
      </c>
      <c r="E27">
        <f t="shared" ref="E27:E33" si="4">SQRT(POWER(B27-1,2)+POWER(C27-12.5,2))</f>
        <v>1.5</v>
      </c>
      <c r="F27">
        <f t="shared" ref="F27:F33" si="5">SQRT(POWER(B27-8,2)+POWER(C27-6.2,2))</f>
        <v>10.480458005259122</v>
      </c>
      <c r="G27">
        <v>2</v>
      </c>
      <c r="J27" t="s">
        <v>37</v>
      </c>
      <c r="K27">
        <f>SUM(C26,C30,C32)/3</f>
        <v>3</v>
      </c>
    </row>
    <row r="28" spans="1:11" x14ac:dyDescent="0.25">
      <c r="A28" s="2" t="s">
        <v>2</v>
      </c>
      <c r="B28" s="2">
        <v>10</v>
      </c>
      <c r="C28" s="2">
        <v>7</v>
      </c>
      <c r="D28">
        <f t="shared" si="3"/>
        <v>9.4339811320566032</v>
      </c>
      <c r="E28">
        <f t="shared" si="4"/>
        <v>10.547511554864494</v>
      </c>
      <c r="F28">
        <f t="shared" si="5"/>
        <v>2.1540659228538015</v>
      </c>
      <c r="G28">
        <v>3</v>
      </c>
      <c r="J28" t="s">
        <v>38</v>
      </c>
      <c r="K28">
        <v>1</v>
      </c>
    </row>
    <row r="29" spans="1:11" x14ac:dyDescent="0.25">
      <c r="A29" s="2" t="s">
        <v>3</v>
      </c>
      <c r="B29" s="2">
        <v>1</v>
      </c>
      <c r="C29" s="2">
        <v>11</v>
      </c>
      <c r="D29">
        <f t="shared" si="3"/>
        <v>9.0553851381374173</v>
      </c>
      <c r="E29">
        <f t="shared" si="4"/>
        <v>1.5</v>
      </c>
      <c r="F29">
        <f t="shared" si="5"/>
        <v>8.4876380695691775</v>
      </c>
      <c r="G29">
        <v>2</v>
      </c>
      <c r="J29" t="s">
        <v>39</v>
      </c>
      <c r="K29">
        <v>12.5</v>
      </c>
    </row>
    <row r="30" spans="1:11" x14ac:dyDescent="0.25">
      <c r="A30" s="2" t="s">
        <v>4</v>
      </c>
      <c r="B30" s="2">
        <v>3</v>
      </c>
      <c r="C30" s="2">
        <v>4</v>
      </c>
      <c r="D30">
        <f t="shared" si="3"/>
        <v>2.2360679774997898</v>
      </c>
      <c r="E30">
        <f t="shared" si="4"/>
        <v>8.7321245982864895</v>
      </c>
      <c r="F30">
        <f t="shared" si="5"/>
        <v>5.4626001134990654</v>
      </c>
      <c r="G30">
        <v>1</v>
      </c>
      <c r="J30" t="s">
        <v>40</v>
      </c>
      <c r="K30">
        <f>SUM(B28,B31,B33)/3</f>
        <v>11</v>
      </c>
    </row>
    <row r="31" spans="1:11" x14ac:dyDescent="0.25">
      <c r="A31" s="2" t="s">
        <v>5</v>
      </c>
      <c r="B31" s="2">
        <v>11</v>
      </c>
      <c r="C31" s="2">
        <v>8</v>
      </c>
      <c r="D31">
        <f t="shared" si="3"/>
        <v>10.816653826391969</v>
      </c>
      <c r="E31">
        <f t="shared" si="4"/>
        <v>10.965856099730654</v>
      </c>
      <c r="F31">
        <f t="shared" si="5"/>
        <v>3.4985711369071799</v>
      </c>
      <c r="G31">
        <v>3</v>
      </c>
      <c r="J31" t="s">
        <v>41</v>
      </c>
      <c r="K31">
        <f>SUM(C28,C31,C33)/3</f>
        <v>8</v>
      </c>
    </row>
    <row r="32" spans="1:11" x14ac:dyDescent="0.25">
      <c r="A32" s="2" t="s">
        <v>6</v>
      </c>
      <c r="B32" s="2">
        <v>4</v>
      </c>
      <c r="C32" s="2">
        <v>3</v>
      </c>
      <c r="D32">
        <f t="shared" si="3"/>
        <v>2.2360679774997898</v>
      </c>
      <c r="E32">
        <f t="shared" si="4"/>
        <v>9.9624294225856378</v>
      </c>
      <c r="F32">
        <f t="shared" si="5"/>
        <v>5.1224993899462792</v>
      </c>
      <c r="G32">
        <v>1</v>
      </c>
    </row>
    <row r="33" spans="1:13" x14ac:dyDescent="0.25">
      <c r="A33" t="s">
        <v>7</v>
      </c>
      <c r="B33">
        <v>12</v>
      </c>
      <c r="C33">
        <v>9</v>
      </c>
      <c r="D33">
        <f t="shared" si="3"/>
        <v>12.206555615733702</v>
      </c>
      <c r="E33">
        <f t="shared" si="4"/>
        <v>11.543396380615196</v>
      </c>
      <c r="F33">
        <f t="shared" si="5"/>
        <v>4.8826222462934812</v>
      </c>
      <c r="G33">
        <v>3</v>
      </c>
    </row>
    <row r="35" spans="1:13" x14ac:dyDescent="0.25">
      <c r="B35" s="4" t="s">
        <v>16</v>
      </c>
    </row>
    <row r="36" spans="1:13" x14ac:dyDescent="0.25">
      <c r="B36" t="s">
        <v>34</v>
      </c>
      <c r="C36" t="s">
        <v>35</v>
      </c>
      <c r="D36" t="s">
        <v>17</v>
      </c>
      <c r="E36" t="s">
        <v>14</v>
      </c>
      <c r="F36" t="s">
        <v>18</v>
      </c>
      <c r="G36" t="s">
        <v>24</v>
      </c>
      <c r="J36" t="s">
        <v>25</v>
      </c>
    </row>
    <row r="37" spans="1:13" x14ac:dyDescent="0.25">
      <c r="A37" s="2" t="s">
        <v>0</v>
      </c>
      <c r="B37" s="2">
        <v>2</v>
      </c>
      <c r="C37" s="2">
        <v>2</v>
      </c>
      <c r="D37" s="1">
        <f>SQRT(POWER(B37-3,2)+POWER(C37-3,2))</f>
        <v>1.4142135623730951</v>
      </c>
      <c r="E37">
        <f>SQRT(POWER(B37-1,2)+POWER(C37-12.5,2))</f>
        <v>10.547511554864494</v>
      </c>
      <c r="F37">
        <f>SQRT(POWER(B37-11,2)+POWER(C37-8,2))</f>
        <v>10.816653826391969</v>
      </c>
      <c r="G37" s="1">
        <v>1</v>
      </c>
      <c r="J37" t="s">
        <v>36</v>
      </c>
      <c r="K37">
        <f>SUM(B37,B41,B43)/3</f>
        <v>3</v>
      </c>
    </row>
    <row r="38" spans="1:13" x14ac:dyDescent="0.25">
      <c r="A38" s="2" t="s">
        <v>1</v>
      </c>
      <c r="B38" s="2">
        <v>1</v>
      </c>
      <c r="C38" s="2">
        <v>14</v>
      </c>
      <c r="D38">
        <f t="shared" ref="D38:D44" si="6">SQRT(POWER(B38-3,2)+POWER(C38-3,2))</f>
        <v>11.180339887498949</v>
      </c>
      <c r="E38" s="12">
        <f t="shared" ref="E38:E44" si="7">SQRT(POWER(B38-1,2)+POWER(C38-12.5,2))</f>
        <v>1.5</v>
      </c>
      <c r="F38">
        <f t="shared" ref="F38:F44" si="8">SQRT(POWER(B38-11,2)+POWER(C38-8,2))</f>
        <v>11.661903789690601</v>
      </c>
      <c r="G38" s="12">
        <v>2</v>
      </c>
      <c r="J38" t="s">
        <v>37</v>
      </c>
      <c r="K38">
        <f>SUM(C37,C41,C43)/3</f>
        <v>3</v>
      </c>
      <c r="M38" s="7"/>
    </row>
    <row r="39" spans="1:13" x14ac:dyDescent="0.25">
      <c r="A39" s="2" t="s">
        <v>2</v>
      </c>
      <c r="B39" s="2">
        <v>10</v>
      </c>
      <c r="C39" s="2">
        <v>7</v>
      </c>
      <c r="D39">
        <f t="shared" si="6"/>
        <v>8.0622577482985491</v>
      </c>
      <c r="E39">
        <f t="shared" si="7"/>
        <v>10.547511554864494</v>
      </c>
      <c r="F39" s="13">
        <f t="shared" si="8"/>
        <v>1.4142135623730951</v>
      </c>
      <c r="G39" s="13">
        <v>3</v>
      </c>
      <c r="J39" t="s">
        <v>38</v>
      </c>
      <c r="K39">
        <v>1</v>
      </c>
      <c r="M39" s="3" t="s">
        <v>26</v>
      </c>
    </row>
    <row r="40" spans="1:13" x14ac:dyDescent="0.25">
      <c r="A40" s="2" t="s">
        <v>3</v>
      </c>
      <c r="B40" s="2">
        <v>1</v>
      </c>
      <c r="C40" s="2">
        <v>11</v>
      </c>
      <c r="D40">
        <f t="shared" si="6"/>
        <v>8.2462112512353212</v>
      </c>
      <c r="E40" s="12">
        <f t="shared" si="7"/>
        <v>1.5</v>
      </c>
      <c r="F40">
        <f t="shared" si="8"/>
        <v>10.440306508910551</v>
      </c>
      <c r="G40" s="12">
        <v>2</v>
      </c>
      <c r="J40" t="s">
        <v>39</v>
      </c>
      <c r="K40">
        <v>12.5</v>
      </c>
    </row>
    <row r="41" spans="1:13" x14ac:dyDescent="0.25">
      <c r="A41" s="2" t="s">
        <v>4</v>
      </c>
      <c r="B41" s="2">
        <v>3</v>
      </c>
      <c r="C41" s="2">
        <v>4</v>
      </c>
      <c r="D41" s="1">
        <f t="shared" si="6"/>
        <v>1</v>
      </c>
      <c r="E41">
        <f t="shared" si="7"/>
        <v>8.7321245982864895</v>
      </c>
      <c r="F41">
        <f t="shared" si="8"/>
        <v>8.9442719099991592</v>
      </c>
      <c r="G41" s="1">
        <v>1</v>
      </c>
      <c r="J41" t="s">
        <v>40</v>
      </c>
      <c r="K41">
        <f>SUM(B39,B42,B44)/3</f>
        <v>11</v>
      </c>
      <c r="M41" s="5" t="s">
        <v>19</v>
      </c>
    </row>
    <row r="42" spans="1:13" x14ac:dyDescent="0.25">
      <c r="A42" s="2" t="s">
        <v>5</v>
      </c>
      <c r="B42" s="2">
        <v>11</v>
      </c>
      <c r="C42" s="2">
        <v>8</v>
      </c>
      <c r="D42">
        <f t="shared" si="6"/>
        <v>9.4339811320566032</v>
      </c>
      <c r="E42">
        <f t="shared" si="7"/>
        <v>10.965856099730654</v>
      </c>
      <c r="F42" s="13">
        <f t="shared" si="8"/>
        <v>0</v>
      </c>
      <c r="G42" s="13">
        <v>3</v>
      </c>
      <c r="J42" t="s">
        <v>41</v>
      </c>
      <c r="K42">
        <f>SUM(C39,C42,C44)/3</f>
        <v>8</v>
      </c>
    </row>
    <row r="43" spans="1:13" x14ac:dyDescent="0.25">
      <c r="A43" s="2" t="s">
        <v>6</v>
      </c>
      <c r="B43" s="2">
        <v>4</v>
      </c>
      <c r="C43" s="2">
        <v>3</v>
      </c>
      <c r="D43" s="1">
        <f t="shared" si="6"/>
        <v>1</v>
      </c>
      <c r="E43">
        <f t="shared" si="7"/>
        <v>9.9624294225856378</v>
      </c>
      <c r="F43">
        <f t="shared" si="8"/>
        <v>8.6023252670426267</v>
      </c>
      <c r="G43" s="1">
        <v>1</v>
      </c>
    </row>
    <row r="44" spans="1:13" x14ac:dyDescent="0.25">
      <c r="A44" t="s">
        <v>7</v>
      </c>
      <c r="B44">
        <v>12</v>
      </c>
      <c r="C44">
        <v>9</v>
      </c>
      <c r="D44">
        <f t="shared" si="6"/>
        <v>10.816653826391969</v>
      </c>
      <c r="E44">
        <f t="shared" si="7"/>
        <v>11.543396380615196</v>
      </c>
      <c r="F44" s="13">
        <f t="shared" si="8"/>
        <v>1.4142135623730951</v>
      </c>
      <c r="G44" s="13">
        <v>3</v>
      </c>
    </row>
    <row r="45" spans="1:13" x14ac:dyDescent="0.25">
      <c r="A45" s="6" t="s">
        <v>20</v>
      </c>
      <c r="B45" s="6">
        <v>3</v>
      </c>
      <c r="C45" s="6">
        <v>3</v>
      </c>
    </row>
    <row r="46" spans="1:13" x14ac:dyDescent="0.25">
      <c r="A46" s="6" t="s">
        <v>21</v>
      </c>
      <c r="B46" s="6">
        <v>1</v>
      </c>
      <c r="C46" s="6">
        <v>12.5</v>
      </c>
    </row>
    <row r="47" spans="1:13" x14ac:dyDescent="0.25">
      <c r="A47" s="6" t="s">
        <v>22</v>
      </c>
      <c r="B47" s="6">
        <v>11</v>
      </c>
      <c r="C47" s="6">
        <v>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opLeftCell="D1" zoomScale="150" zoomScaleNormal="150" workbookViewId="0">
      <selection activeCell="D12" sqref="D12"/>
    </sheetView>
  </sheetViews>
  <sheetFormatPr defaultRowHeight="15" x14ac:dyDescent="0.25"/>
  <sheetData>
    <row r="1" spans="1:5" x14ac:dyDescent="0.25">
      <c r="A1" s="8"/>
      <c r="B1" s="8" t="s">
        <v>27</v>
      </c>
      <c r="C1" s="8" t="s">
        <v>28</v>
      </c>
      <c r="E1" s="11" t="s">
        <v>8</v>
      </c>
    </row>
    <row r="2" spans="1:5" x14ac:dyDescent="0.25">
      <c r="A2" s="9" t="s">
        <v>0</v>
      </c>
      <c r="B2" s="9">
        <v>2</v>
      </c>
      <c r="C2" s="9">
        <v>2</v>
      </c>
    </row>
    <row r="3" spans="1:5" x14ac:dyDescent="0.25">
      <c r="A3" s="9" t="s">
        <v>1</v>
      </c>
      <c r="B3" s="9">
        <v>1</v>
      </c>
      <c r="C3" s="9">
        <v>14</v>
      </c>
    </row>
    <row r="4" spans="1:5" x14ac:dyDescent="0.25">
      <c r="A4" s="8" t="s">
        <v>2</v>
      </c>
      <c r="B4" s="8">
        <v>10</v>
      </c>
      <c r="C4" s="8">
        <v>7</v>
      </c>
      <c r="E4" t="s">
        <v>23</v>
      </c>
    </row>
    <row r="5" spans="1:5" x14ac:dyDescent="0.25">
      <c r="A5" s="8" t="s">
        <v>3</v>
      </c>
      <c r="B5" s="8">
        <v>1</v>
      </c>
      <c r="C5" s="8">
        <v>11</v>
      </c>
    </row>
    <row r="6" spans="1:5" x14ac:dyDescent="0.25">
      <c r="A6" s="8" t="s">
        <v>4</v>
      </c>
      <c r="B6" s="8">
        <v>3</v>
      </c>
      <c r="C6" s="8">
        <v>4</v>
      </c>
    </row>
    <row r="7" spans="1:5" x14ac:dyDescent="0.25">
      <c r="A7" s="10" t="s">
        <v>5</v>
      </c>
      <c r="B7" s="10">
        <v>11</v>
      </c>
      <c r="C7" s="10">
        <v>8</v>
      </c>
    </row>
    <row r="8" spans="1:5" x14ac:dyDescent="0.25">
      <c r="A8" s="9" t="s">
        <v>6</v>
      </c>
      <c r="B8" s="9">
        <v>4</v>
      </c>
      <c r="C8" s="9">
        <v>3</v>
      </c>
    </row>
    <row r="9" spans="1:5" x14ac:dyDescent="0.25">
      <c r="A9" s="8" t="s">
        <v>7</v>
      </c>
      <c r="B9" s="8">
        <v>12</v>
      </c>
      <c r="C9" s="8">
        <v>9</v>
      </c>
    </row>
    <row r="10" spans="1:5" x14ac:dyDescent="0.25">
      <c r="B10" t="s">
        <v>29</v>
      </c>
      <c r="C10" t="s">
        <v>30</v>
      </c>
      <c r="D10" t="s">
        <v>31</v>
      </c>
    </row>
    <row r="11" spans="1:5" x14ac:dyDescent="0.25">
      <c r="B11" t="s">
        <v>20</v>
      </c>
      <c r="C11" t="s">
        <v>21</v>
      </c>
      <c r="D11" t="s">
        <v>22</v>
      </c>
    </row>
    <row r="12" spans="1:5" x14ac:dyDescent="0.25">
      <c r="A12" s="9" t="s">
        <v>0</v>
      </c>
      <c r="B12">
        <v>0</v>
      </c>
      <c r="C12" t="s">
        <v>32</v>
      </c>
      <c r="D12" t="s">
        <v>33</v>
      </c>
    </row>
    <row r="13" spans="1:5" x14ac:dyDescent="0.25">
      <c r="A13" s="9" t="s">
        <v>1</v>
      </c>
      <c r="B13" t="s">
        <v>32</v>
      </c>
    </row>
    <row r="14" spans="1:5" x14ac:dyDescent="0.25">
      <c r="A14" s="8" t="s">
        <v>2</v>
      </c>
      <c r="B14">
        <v>9.43</v>
      </c>
    </row>
    <row r="15" spans="1:5" x14ac:dyDescent="0.25">
      <c r="A15" s="8" t="s">
        <v>3</v>
      </c>
      <c r="B15">
        <v>9</v>
      </c>
    </row>
    <row r="16" spans="1:5" x14ac:dyDescent="0.25">
      <c r="A16" s="8" t="s">
        <v>4</v>
      </c>
    </row>
    <row r="17" spans="1:1" x14ac:dyDescent="0.25">
      <c r="A17" s="10" t="s">
        <v>5</v>
      </c>
    </row>
    <row r="18" spans="1:1" x14ac:dyDescent="0.25">
      <c r="A18" s="9" t="s">
        <v>6</v>
      </c>
    </row>
    <row r="19" spans="1:1" x14ac:dyDescent="0.25">
      <c r="A19" s="8" t="s">
        <v>7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cdacstaff</cp:lastModifiedBy>
  <dcterms:created xsi:type="dcterms:W3CDTF">2020-02-12T07:33:40Z</dcterms:created>
  <dcterms:modified xsi:type="dcterms:W3CDTF">2026-05-19T05:53:04Z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938f21cc-9538-446b-a478-767d4080bddb</vt:lpwstr>
  </property>
</Properties>
</file>